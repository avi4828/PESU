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SU\PESU\SEM1\PYTHON\unit-3\libpre\excel\"/>
    </mc:Choice>
  </mc:AlternateContent>
  <xr:revisionPtr revIDLastSave="0" documentId="13_ncr:1_{532AAFC9-AC10-4246-A496-AD1E3479D8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SalesData Cop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2" l="1"/>
  <c r="O2" i="2"/>
  <c r="N2" i="2"/>
  <c r="M2" i="2"/>
</calcChain>
</file>

<file path=xl/sharedStrings.xml><?xml version="1.0" encoding="utf-8"?>
<sst xmlns="http://schemas.openxmlformats.org/spreadsheetml/2006/main" count="274" uniqueCount="88">
  <si>
    <t>Rank</t>
  </si>
  <si>
    <t>Name</t>
  </si>
  <si>
    <t>Platform</t>
  </si>
  <si>
    <t>Year</t>
  </si>
  <si>
    <t>Genre</t>
  </si>
  <si>
    <t>Publisher</t>
  </si>
  <si>
    <t>North_Sales</t>
  </si>
  <si>
    <t>South_Sales</t>
  </si>
  <si>
    <t>East_Sales</t>
  </si>
  <si>
    <t>West_Sales</t>
  </si>
  <si>
    <t>total_sales</t>
  </si>
  <si>
    <t>Total Sales</t>
  </si>
  <si>
    <t>Total of populated cells</t>
  </si>
  <si>
    <t>number of rows with dports genre</t>
  </si>
  <si>
    <t>Cricket Champions 2024</t>
  </si>
  <si>
    <t>PC</t>
  </si>
  <si>
    <t>Sports</t>
  </si>
  <si>
    <t>GameStudio India</t>
  </si>
  <si>
    <t>Delhi Metro Racer</t>
  </si>
  <si>
    <t>Mobile</t>
  </si>
  <si>
    <t>Racing</t>
  </si>
  <si>
    <t>IndiePlay Labs</t>
  </si>
  <si>
    <t>Mumbai Crime Stories</t>
  </si>
  <si>
    <t>Action</t>
  </si>
  <si>
    <t>Riverfront Games</t>
  </si>
  <si>
    <t>Temple Quest Legends</t>
  </si>
  <si>
    <t>Adventure</t>
  </si>
  <si>
    <t>PixelLot India</t>
  </si>
  <si>
    <t>Total sports sales</t>
  </si>
  <si>
    <t>Royal Chess Masters</t>
  </si>
  <si>
    <t>Strategy</t>
  </si>
  <si>
    <t>Banyan Tree Studios</t>
  </si>
  <si>
    <t>Battle of Kingdoms</t>
  </si>
  <si>
    <t>Console</t>
  </si>
  <si>
    <t>Lotus Interactive</t>
  </si>
  <si>
    <t>Goa Beach Volleyball</t>
  </si>
  <si>
    <t>Coastal Games</t>
  </si>
  <si>
    <t>Hyderabad Tech Tycoon</t>
  </si>
  <si>
    <t>Simulation</t>
  </si>
  <si>
    <t>Deccan Digital</t>
  </si>
  <si>
    <t>Rajasthan Desert Rally</t>
  </si>
  <si>
    <t>SandStorm Studios</t>
  </si>
  <si>
    <t>Bengal Mystery Manor</t>
  </si>
  <si>
    <t>Puzzle</t>
  </si>
  <si>
    <t>Ganges Interactive</t>
  </si>
  <si>
    <t>Karnataka Forest Runner</t>
  </si>
  <si>
    <t>Platformer</t>
  </si>
  <si>
    <t>Western Ghats Games</t>
  </si>
  <si>
    <t>Chennai Super Strikers</t>
  </si>
  <si>
    <t>Marina Games</t>
  </si>
  <si>
    <t>Ganges Boat Racing</t>
  </si>
  <si>
    <t>Space Warriors India</t>
  </si>
  <si>
    <t>Shooter</t>
  </si>
  <si>
    <t>Orbit Studios</t>
  </si>
  <si>
    <t>Ancient Temples Explorer</t>
  </si>
  <si>
    <t>Heritage Play</t>
  </si>
  <si>
    <t>City Builder Mumbai</t>
  </si>
  <si>
    <t>UrbanGrid India</t>
  </si>
  <si>
    <t>Kerala Backwater Cruise</t>
  </si>
  <si>
    <t>Casual</t>
  </si>
  <si>
    <t>Coconut Leaf Games</t>
  </si>
  <si>
    <t>Himalayan Trek Quest</t>
  </si>
  <si>
    <t>PeakPoint Studios</t>
  </si>
  <si>
    <t>Auto Rickshaw Tycoon</t>
  </si>
  <si>
    <t>BusyStreet Games</t>
  </si>
  <si>
    <t>Street Cricket Gully</t>
  </si>
  <si>
    <t>GullyShot Studios</t>
  </si>
  <si>
    <t>Indian Railways Simulator</t>
  </si>
  <si>
    <t>National Lines Gaming</t>
  </si>
  <si>
    <t>Bollywood Dance Beat</t>
  </si>
  <si>
    <t>Music</t>
  </si>
  <si>
    <t>StageLight Games</t>
  </si>
  <si>
    <t>Startup Garage Bangalore</t>
  </si>
  <si>
    <t>Silicon Plateau Labs</t>
  </si>
  <si>
    <t>Ancient Fort Defense</t>
  </si>
  <si>
    <t>RedFort Studios</t>
  </si>
  <si>
    <t>Monsoon Rally Challenge</t>
  </si>
  <si>
    <t>ThunderCloud Games</t>
  </si>
  <si>
    <t>Spice Market Tycoon</t>
  </si>
  <si>
    <t>Masala Games</t>
  </si>
  <si>
    <t>Indian Ocean Pirates</t>
  </si>
  <si>
    <t>BlueWave Interactive</t>
  </si>
  <si>
    <t>City Metro Manager</t>
  </si>
  <si>
    <t>Chai Stall Stories</t>
  </si>
  <si>
    <t>Teacup Labs</t>
  </si>
  <si>
    <t>Yoga Master Trainer</t>
  </si>
  <si>
    <t>Fitness</t>
  </si>
  <si>
    <t>WellBeing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</si>
</sst>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L3" sqref="L3"/>
    </sheetView>
  </sheetViews>
  <sheetFormatPr defaultRowHeight="14.4" x14ac:dyDescent="0.3"/>
  <cols>
    <col min="13" max="13" width="9.77734375" bestFit="1" customWidth="1"/>
    <col min="14" max="14" width="20.33203125" bestFit="1" customWidth="1"/>
    <col min="15" max="15" width="29" bestFit="1" customWidth="1"/>
    <col min="16" max="16" width="15.21875" bestFit="1" customWidth="1"/>
  </cols>
  <sheetData>
    <row r="1" spans="1:11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 x14ac:dyDescent="0.3">
      <c r="A2">
        <v>1</v>
      </c>
      <c r="B2" t="s">
        <v>14</v>
      </c>
      <c r="C2" t="s">
        <v>15</v>
      </c>
      <c r="D2">
        <v>2024</v>
      </c>
      <c r="E2" t="s">
        <v>16</v>
      </c>
      <c r="F2" t="s">
        <v>17</v>
      </c>
      <c r="G2">
        <v>2.15</v>
      </c>
      <c r="H2">
        <v>3.4</v>
      </c>
      <c r="I2">
        <v>1.85</v>
      </c>
      <c r="J2">
        <v>2.6</v>
      </c>
      <c r="K2">
        <v>10</v>
      </c>
    </row>
    <row r="3" spans="1:11" x14ac:dyDescent="0.3">
      <c r="A3">
        <v>2</v>
      </c>
      <c r="B3" t="s">
        <v>18</v>
      </c>
      <c r="C3" t="s">
        <v>19</v>
      </c>
      <c r="D3">
        <v>2023</v>
      </c>
      <c r="E3" t="s">
        <v>20</v>
      </c>
      <c r="F3" t="s">
        <v>21</v>
      </c>
      <c r="G3">
        <v>1.2</v>
      </c>
      <c r="H3">
        <v>1.9</v>
      </c>
      <c r="I3">
        <v>0.95</v>
      </c>
      <c r="J3">
        <v>1.3</v>
      </c>
      <c r="K3">
        <v>5.35</v>
      </c>
    </row>
    <row r="4" spans="1:11" x14ac:dyDescent="0.3">
      <c r="A4">
        <v>3</v>
      </c>
      <c r="B4" t="s">
        <v>22</v>
      </c>
      <c r="C4" t="s">
        <v>15</v>
      </c>
      <c r="D4">
        <v>2022</v>
      </c>
      <c r="E4" t="s">
        <v>23</v>
      </c>
      <c r="F4" t="s">
        <v>24</v>
      </c>
      <c r="G4">
        <v>1.75</v>
      </c>
      <c r="H4">
        <v>2.1</v>
      </c>
      <c r="I4">
        <v>1.05</v>
      </c>
      <c r="J4">
        <v>1.6</v>
      </c>
      <c r="K4">
        <v>6.5</v>
      </c>
    </row>
    <row r="5" spans="1:11" x14ac:dyDescent="0.3">
      <c r="A5">
        <v>4</v>
      </c>
      <c r="B5" t="s">
        <v>25</v>
      </c>
      <c r="C5" t="s">
        <v>19</v>
      </c>
      <c r="D5">
        <v>2021</v>
      </c>
      <c r="E5" t="s">
        <v>26</v>
      </c>
      <c r="F5" t="s">
        <v>27</v>
      </c>
      <c r="G5">
        <v>1.9</v>
      </c>
      <c r="H5">
        <v>2.5</v>
      </c>
      <c r="I5">
        <v>1.4</v>
      </c>
      <c r="J5">
        <v>1.8</v>
      </c>
      <c r="K5">
        <v>7.6000000000000014</v>
      </c>
    </row>
    <row r="6" spans="1:11" x14ac:dyDescent="0.3">
      <c r="A6">
        <v>5</v>
      </c>
      <c r="B6" t="s">
        <v>29</v>
      </c>
      <c r="C6" t="s">
        <v>15</v>
      </c>
      <c r="D6">
        <v>2020</v>
      </c>
      <c r="E6" t="s">
        <v>30</v>
      </c>
      <c r="F6" t="s">
        <v>31</v>
      </c>
      <c r="G6">
        <v>0.95</v>
      </c>
      <c r="H6">
        <v>1.3</v>
      </c>
      <c r="I6">
        <v>0.8</v>
      </c>
      <c r="J6">
        <v>0.9</v>
      </c>
      <c r="K6">
        <v>3.95</v>
      </c>
    </row>
    <row r="7" spans="1:11" x14ac:dyDescent="0.3">
      <c r="A7">
        <v>6</v>
      </c>
      <c r="B7" t="s">
        <v>32</v>
      </c>
      <c r="C7" t="s">
        <v>33</v>
      </c>
      <c r="D7">
        <v>2023</v>
      </c>
      <c r="E7" t="s">
        <v>23</v>
      </c>
      <c r="F7" t="s">
        <v>34</v>
      </c>
      <c r="G7">
        <v>1.6</v>
      </c>
      <c r="H7">
        <v>2.0499999999999998</v>
      </c>
      <c r="I7">
        <v>1.1000000000000001</v>
      </c>
      <c r="J7">
        <v>1.55</v>
      </c>
      <c r="K7">
        <v>6.3</v>
      </c>
    </row>
    <row r="8" spans="1:11" x14ac:dyDescent="0.3">
      <c r="A8">
        <v>7</v>
      </c>
      <c r="B8" t="s">
        <v>35</v>
      </c>
      <c r="C8" t="s">
        <v>19</v>
      </c>
      <c r="D8">
        <v>2022</v>
      </c>
      <c r="E8" t="s">
        <v>16</v>
      </c>
      <c r="F8" t="s">
        <v>36</v>
      </c>
      <c r="G8">
        <v>0.75</v>
      </c>
      <c r="H8">
        <v>1.6</v>
      </c>
      <c r="I8">
        <v>0.6</v>
      </c>
      <c r="J8">
        <v>1.1000000000000001</v>
      </c>
      <c r="K8">
        <v>4.0500000000000007</v>
      </c>
    </row>
    <row r="9" spans="1:11" x14ac:dyDescent="0.3">
      <c r="A9">
        <v>8</v>
      </c>
      <c r="B9" t="s">
        <v>37</v>
      </c>
      <c r="C9" t="s">
        <v>15</v>
      </c>
      <c r="D9">
        <v>2021</v>
      </c>
      <c r="E9" t="s">
        <v>38</v>
      </c>
      <c r="F9" t="s">
        <v>39</v>
      </c>
      <c r="G9">
        <v>0.85</v>
      </c>
      <c r="H9">
        <v>1.2</v>
      </c>
      <c r="I9">
        <v>0.7</v>
      </c>
      <c r="J9">
        <v>0.95</v>
      </c>
      <c r="K9">
        <v>3.7</v>
      </c>
    </row>
    <row r="10" spans="1:11" x14ac:dyDescent="0.3">
      <c r="A10">
        <v>9</v>
      </c>
      <c r="B10" t="s">
        <v>40</v>
      </c>
      <c r="C10" t="s">
        <v>33</v>
      </c>
      <c r="D10">
        <v>2020</v>
      </c>
      <c r="E10" t="s">
        <v>20</v>
      </c>
      <c r="F10" t="s">
        <v>41</v>
      </c>
      <c r="G10">
        <v>0.9</v>
      </c>
      <c r="H10">
        <v>1.1000000000000001</v>
      </c>
      <c r="I10">
        <v>0.55000000000000004</v>
      </c>
      <c r="J10">
        <v>0.8</v>
      </c>
      <c r="K10">
        <v>3.35</v>
      </c>
    </row>
    <row r="11" spans="1:11" x14ac:dyDescent="0.3">
      <c r="A11">
        <v>10</v>
      </c>
      <c r="B11" t="s">
        <v>42</v>
      </c>
      <c r="C11" t="s">
        <v>15</v>
      </c>
      <c r="D11">
        <v>2024</v>
      </c>
      <c r="E11" t="s">
        <v>43</v>
      </c>
      <c r="F11" t="s">
        <v>44</v>
      </c>
      <c r="G11">
        <v>1.1000000000000001</v>
      </c>
      <c r="H11">
        <v>1.5</v>
      </c>
      <c r="I11">
        <v>1.25</v>
      </c>
      <c r="J11">
        <v>1.05</v>
      </c>
      <c r="K11">
        <v>4.9000000000000004</v>
      </c>
    </row>
    <row r="12" spans="1:11" x14ac:dyDescent="0.3">
      <c r="A12">
        <v>11</v>
      </c>
      <c r="B12" t="s">
        <v>45</v>
      </c>
      <c r="C12" t="s">
        <v>19</v>
      </c>
      <c r="D12">
        <v>2023</v>
      </c>
      <c r="E12" t="s">
        <v>46</v>
      </c>
      <c r="F12" t="s">
        <v>47</v>
      </c>
      <c r="G12">
        <v>0.7</v>
      </c>
      <c r="H12">
        <v>1.4</v>
      </c>
      <c r="I12">
        <v>0.65</v>
      </c>
      <c r="J12">
        <v>0.9</v>
      </c>
      <c r="K12">
        <v>3.649999999999999</v>
      </c>
    </row>
    <row r="13" spans="1:11" x14ac:dyDescent="0.3">
      <c r="A13">
        <v>12</v>
      </c>
      <c r="B13" t="s">
        <v>48</v>
      </c>
      <c r="C13" t="s">
        <v>33</v>
      </c>
      <c r="D13">
        <v>2021</v>
      </c>
      <c r="E13" t="s">
        <v>16</v>
      </c>
      <c r="F13" t="s">
        <v>49</v>
      </c>
      <c r="G13">
        <v>1.3</v>
      </c>
      <c r="H13">
        <v>1.95</v>
      </c>
      <c r="I13">
        <v>0.9</v>
      </c>
      <c r="J13">
        <v>1.4</v>
      </c>
      <c r="K13">
        <v>5.5500000000000007</v>
      </c>
    </row>
    <row r="14" spans="1:11" x14ac:dyDescent="0.3">
      <c r="A14">
        <v>13</v>
      </c>
      <c r="B14" t="s">
        <v>50</v>
      </c>
      <c r="C14" t="s">
        <v>19</v>
      </c>
      <c r="D14">
        <v>2020</v>
      </c>
      <c r="E14" t="s">
        <v>20</v>
      </c>
      <c r="F14" t="s">
        <v>24</v>
      </c>
      <c r="G14">
        <v>0.6</v>
      </c>
      <c r="H14">
        <v>1.1000000000000001</v>
      </c>
      <c r="I14">
        <v>0.95</v>
      </c>
      <c r="J14">
        <v>0.75</v>
      </c>
      <c r="K14">
        <v>3.4</v>
      </c>
    </row>
    <row r="15" spans="1:11" x14ac:dyDescent="0.3">
      <c r="A15">
        <v>14</v>
      </c>
      <c r="B15" t="s">
        <v>51</v>
      </c>
      <c r="C15" t="s">
        <v>15</v>
      </c>
      <c r="D15">
        <v>2022</v>
      </c>
      <c r="E15" t="s">
        <v>52</v>
      </c>
      <c r="F15" t="s">
        <v>53</v>
      </c>
      <c r="G15">
        <v>1.4</v>
      </c>
      <c r="H15">
        <v>1.65</v>
      </c>
      <c r="I15">
        <v>0.85</v>
      </c>
      <c r="J15">
        <v>1.2</v>
      </c>
      <c r="K15">
        <v>5.0999999999999996</v>
      </c>
    </row>
    <row r="16" spans="1:11" x14ac:dyDescent="0.3">
      <c r="A16">
        <v>15</v>
      </c>
      <c r="B16" t="s">
        <v>54</v>
      </c>
      <c r="C16" t="s">
        <v>15</v>
      </c>
      <c r="D16">
        <v>2021</v>
      </c>
      <c r="E16" t="s">
        <v>26</v>
      </c>
      <c r="F16" t="s">
        <v>55</v>
      </c>
      <c r="G16">
        <v>0.95</v>
      </c>
      <c r="H16">
        <v>1.05</v>
      </c>
      <c r="I16">
        <v>0.9</v>
      </c>
      <c r="J16">
        <v>0.8</v>
      </c>
      <c r="K16">
        <v>3.7</v>
      </c>
    </row>
    <row r="17" spans="1:11" x14ac:dyDescent="0.3">
      <c r="A17">
        <v>16</v>
      </c>
      <c r="B17" t="s">
        <v>56</v>
      </c>
      <c r="C17" t="s">
        <v>15</v>
      </c>
      <c r="D17">
        <v>2020</v>
      </c>
      <c r="E17" t="s">
        <v>38</v>
      </c>
      <c r="F17" t="s">
        <v>57</v>
      </c>
      <c r="G17">
        <v>1.05</v>
      </c>
      <c r="H17">
        <v>1.3</v>
      </c>
      <c r="I17">
        <v>0.7</v>
      </c>
      <c r="J17">
        <v>1</v>
      </c>
      <c r="K17">
        <v>4.05</v>
      </c>
    </row>
    <row r="18" spans="1:11" x14ac:dyDescent="0.3">
      <c r="A18">
        <v>17</v>
      </c>
      <c r="B18" t="s">
        <v>58</v>
      </c>
      <c r="C18" t="s">
        <v>19</v>
      </c>
      <c r="D18">
        <v>2023</v>
      </c>
      <c r="E18" t="s">
        <v>59</v>
      </c>
      <c r="F18" t="s">
        <v>60</v>
      </c>
      <c r="G18">
        <v>0.55000000000000004</v>
      </c>
      <c r="H18">
        <v>1.25</v>
      </c>
      <c r="I18">
        <v>0.6</v>
      </c>
      <c r="J18">
        <v>0.85</v>
      </c>
      <c r="K18">
        <v>3.25</v>
      </c>
    </row>
    <row r="19" spans="1:11" x14ac:dyDescent="0.3">
      <c r="A19">
        <v>18</v>
      </c>
      <c r="B19" t="s">
        <v>61</v>
      </c>
      <c r="C19" t="s">
        <v>15</v>
      </c>
      <c r="D19">
        <v>2022</v>
      </c>
      <c r="E19" t="s">
        <v>26</v>
      </c>
      <c r="F19" t="s">
        <v>62</v>
      </c>
      <c r="G19">
        <v>0.8</v>
      </c>
      <c r="H19">
        <v>0.95</v>
      </c>
      <c r="I19">
        <v>0.75</v>
      </c>
      <c r="J19">
        <v>0.7</v>
      </c>
      <c r="K19">
        <v>3.2</v>
      </c>
    </row>
    <row r="20" spans="1:11" x14ac:dyDescent="0.3">
      <c r="A20">
        <v>19</v>
      </c>
      <c r="B20" t="s">
        <v>63</v>
      </c>
      <c r="C20" t="s">
        <v>19</v>
      </c>
      <c r="D20">
        <v>2021</v>
      </c>
      <c r="E20" t="s">
        <v>38</v>
      </c>
      <c r="F20" t="s">
        <v>64</v>
      </c>
      <c r="G20">
        <v>1.25</v>
      </c>
      <c r="H20">
        <v>1.8</v>
      </c>
      <c r="I20">
        <v>0.95</v>
      </c>
      <c r="J20">
        <v>1.35</v>
      </c>
      <c r="K20">
        <v>5.35</v>
      </c>
    </row>
    <row r="21" spans="1:11" x14ac:dyDescent="0.3">
      <c r="A21">
        <v>20</v>
      </c>
      <c r="B21" t="s">
        <v>65</v>
      </c>
      <c r="C21" t="s">
        <v>19</v>
      </c>
      <c r="D21">
        <v>2020</v>
      </c>
      <c r="E21" t="s">
        <v>16</v>
      </c>
      <c r="F21" t="s">
        <v>66</v>
      </c>
      <c r="G21">
        <v>1.5</v>
      </c>
      <c r="H21">
        <v>2.2000000000000002</v>
      </c>
      <c r="I21">
        <v>1.1000000000000001</v>
      </c>
      <c r="J21">
        <v>1.6</v>
      </c>
      <c r="K21">
        <v>6.4</v>
      </c>
    </row>
    <row r="22" spans="1:11" x14ac:dyDescent="0.3">
      <c r="A22">
        <v>21</v>
      </c>
      <c r="B22" t="s">
        <v>67</v>
      </c>
      <c r="C22" t="s">
        <v>15</v>
      </c>
      <c r="D22">
        <v>2023</v>
      </c>
      <c r="E22" t="s">
        <v>38</v>
      </c>
      <c r="F22" t="s">
        <v>68</v>
      </c>
      <c r="G22">
        <v>1.8</v>
      </c>
      <c r="H22">
        <v>2.1</v>
      </c>
      <c r="I22">
        <v>1.35</v>
      </c>
      <c r="J22">
        <v>1.55</v>
      </c>
      <c r="K22">
        <v>6.8</v>
      </c>
    </row>
    <row r="23" spans="1:11" x14ac:dyDescent="0.3">
      <c r="A23">
        <v>22</v>
      </c>
      <c r="B23" t="s">
        <v>69</v>
      </c>
      <c r="C23" t="s">
        <v>33</v>
      </c>
      <c r="D23">
        <v>2022</v>
      </c>
      <c r="E23" t="s">
        <v>70</v>
      </c>
      <c r="F23" t="s">
        <v>71</v>
      </c>
      <c r="G23">
        <v>1.1000000000000001</v>
      </c>
      <c r="H23">
        <v>1.85</v>
      </c>
      <c r="I23">
        <v>0.9</v>
      </c>
      <c r="J23">
        <v>1.2</v>
      </c>
      <c r="K23">
        <v>5.05</v>
      </c>
    </row>
    <row r="24" spans="1:11" x14ac:dyDescent="0.3">
      <c r="A24">
        <v>23</v>
      </c>
      <c r="B24" t="s">
        <v>72</v>
      </c>
      <c r="C24" t="s">
        <v>15</v>
      </c>
      <c r="D24">
        <v>2021</v>
      </c>
      <c r="E24" t="s">
        <v>30</v>
      </c>
      <c r="F24" t="s">
        <v>73</v>
      </c>
      <c r="G24">
        <v>0.85</v>
      </c>
      <c r="H24">
        <v>1.4</v>
      </c>
      <c r="I24">
        <v>0.75</v>
      </c>
      <c r="J24">
        <v>1</v>
      </c>
      <c r="K24">
        <v>4</v>
      </c>
    </row>
    <row r="25" spans="1:11" x14ac:dyDescent="0.3">
      <c r="A25">
        <v>24</v>
      </c>
      <c r="B25" t="s">
        <v>74</v>
      </c>
      <c r="C25" t="s">
        <v>19</v>
      </c>
      <c r="D25">
        <v>2020</v>
      </c>
      <c r="E25" t="s">
        <v>30</v>
      </c>
      <c r="F25" t="s">
        <v>75</v>
      </c>
      <c r="G25">
        <v>0.95</v>
      </c>
      <c r="H25">
        <v>1.35</v>
      </c>
      <c r="I25">
        <v>0.8</v>
      </c>
      <c r="J25">
        <v>0.9</v>
      </c>
      <c r="K25">
        <v>4</v>
      </c>
    </row>
    <row r="26" spans="1:11" x14ac:dyDescent="0.3">
      <c r="A26">
        <v>25</v>
      </c>
      <c r="B26" t="s">
        <v>76</v>
      </c>
      <c r="C26" t="s">
        <v>33</v>
      </c>
      <c r="D26">
        <v>2024</v>
      </c>
      <c r="E26" t="s">
        <v>20</v>
      </c>
      <c r="F26" t="s">
        <v>77</v>
      </c>
      <c r="G26">
        <v>1.35</v>
      </c>
      <c r="H26">
        <v>1.7</v>
      </c>
      <c r="I26">
        <v>0.95</v>
      </c>
      <c r="J26">
        <v>1.25</v>
      </c>
      <c r="K26">
        <v>5.25</v>
      </c>
    </row>
    <row r="27" spans="1:11" x14ac:dyDescent="0.3">
      <c r="A27">
        <v>26</v>
      </c>
      <c r="B27" t="s">
        <v>78</v>
      </c>
      <c r="C27" t="s">
        <v>15</v>
      </c>
      <c r="D27">
        <v>2022</v>
      </c>
      <c r="E27" t="s">
        <v>38</v>
      </c>
      <c r="F27" t="s">
        <v>79</v>
      </c>
      <c r="G27">
        <v>1</v>
      </c>
      <c r="H27">
        <v>1.45</v>
      </c>
      <c r="I27">
        <v>0.85</v>
      </c>
      <c r="J27">
        <v>1.05</v>
      </c>
      <c r="K27">
        <v>4.3500000000000014</v>
      </c>
    </row>
    <row r="28" spans="1:11" x14ac:dyDescent="0.3">
      <c r="A28">
        <v>27</v>
      </c>
      <c r="B28" t="s">
        <v>80</v>
      </c>
      <c r="C28" t="s">
        <v>33</v>
      </c>
      <c r="D28">
        <v>2023</v>
      </c>
      <c r="E28" t="s">
        <v>23</v>
      </c>
      <c r="F28" t="s">
        <v>81</v>
      </c>
      <c r="G28">
        <v>1.2</v>
      </c>
      <c r="H28">
        <v>1.6</v>
      </c>
      <c r="I28">
        <v>0.9</v>
      </c>
      <c r="J28">
        <v>1.1000000000000001</v>
      </c>
      <c r="K28">
        <v>4.8</v>
      </c>
    </row>
    <row r="29" spans="1:11" x14ac:dyDescent="0.3">
      <c r="A29">
        <v>28</v>
      </c>
      <c r="B29" t="s">
        <v>82</v>
      </c>
      <c r="C29" t="s">
        <v>15</v>
      </c>
      <c r="D29">
        <v>2021</v>
      </c>
      <c r="E29" t="s">
        <v>30</v>
      </c>
      <c r="F29" t="s">
        <v>57</v>
      </c>
      <c r="G29">
        <v>0.9</v>
      </c>
      <c r="H29">
        <v>1.2</v>
      </c>
      <c r="I29">
        <v>0.7</v>
      </c>
      <c r="J29">
        <v>0.95</v>
      </c>
      <c r="K29">
        <v>3.75</v>
      </c>
    </row>
    <row r="30" spans="1:11" x14ac:dyDescent="0.3">
      <c r="A30">
        <v>29</v>
      </c>
      <c r="B30" t="s">
        <v>83</v>
      </c>
      <c r="C30" t="s">
        <v>19</v>
      </c>
      <c r="D30">
        <v>2022</v>
      </c>
      <c r="E30" t="s">
        <v>59</v>
      </c>
      <c r="F30" t="s">
        <v>84</v>
      </c>
      <c r="G30">
        <v>0.75</v>
      </c>
      <c r="H30">
        <v>1.1499999999999999</v>
      </c>
      <c r="I30">
        <v>0.65</v>
      </c>
      <c r="J30">
        <v>0.8</v>
      </c>
      <c r="K30">
        <v>3.35</v>
      </c>
    </row>
    <row r="31" spans="1:11" x14ac:dyDescent="0.3">
      <c r="A31">
        <v>30</v>
      </c>
      <c r="B31" t="s">
        <v>85</v>
      </c>
      <c r="C31" t="s">
        <v>19</v>
      </c>
      <c r="D31">
        <v>2023</v>
      </c>
      <c r="E31" t="s">
        <v>86</v>
      </c>
      <c r="F31" t="s">
        <v>87</v>
      </c>
      <c r="G31">
        <v>0.85</v>
      </c>
      <c r="H31">
        <v>1.3</v>
      </c>
      <c r="I31">
        <v>0.7</v>
      </c>
      <c r="J31">
        <v>0.9</v>
      </c>
      <c r="K31">
        <v>3.75</v>
      </c>
    </row>
    <row r="32" spans="1:11" x14ac:dyDescent="0.3">
      <c r="A32">
        <v>31</v>
      </c>
      <c r="B32" t="s">
        <v>85</v>
      </c>
      <c r="C32" t="s">
        <v>19</v>
      </c>
      <c r="D32">
        <v>2023</v>
      </c>
      <c r="E32" t="s">
        <v>86</v>
      </c>
      <c r="F32" t="s">
        <v>87</v>
      </c>
      <c r="G32">
        <v>0.85</v>
      </c>
      <c r="H32">
        <v>1.3</v>
      </c>
      <c r="I32">
        <v>0.7</v>
      </c>
      <c r="J32">
        <v>0.9</v>
      </c>
      <c r="K32">
        <v>3.75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workbookViewId="0"/>
  </sheetViews>
  <sheetFormatPr defaultRowHeight="14.4" x14ac:dyDescent="0.3"/>
  <cols>
    <col min="13" max="13" width="9.77734375" bestFit="1" customWidth="1"/>
    <col min="14" max="14" width="20.33203125" bestFit="1" customWidth="1"/>
    <col min="15" max="15" width="29" bestFit="1" customWidth="1"/>
    <col min="16" max="16" width="15.21875" bestFit="1" customWidth="1"/>
  </cols>
  <sheetData>
    <row r="1" spans="1:15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1</v>
      </c>
      <c r="B2" t="s">
        <v>14</v>
      </c>
      <c r="C2" t="s">
        <v>15</v>
      </c>
      <c r="D2">
        <v>2024</v>
      </c>
      <c r="E2" t="s">
        <v>16</v>
      </c>
      <c r="F2" t="s">
        <v>17</v>
      </c>
      <c r="G2">
        <v>2.15</v>
      </c>
      <c r="H2">
        <v>3.4</v>
      </c>
      <c r="I2">
        <v>1.85</v>
      </c>
      <c r="J2">
        <v>2.6</v>
      </c>
      <c r="K2">
        <v>10</v>
      </c>
      <c r="M2">
        <f>AVERAGE(K2:K31)</f>
        <v>4.8150000000000004</v>
      </c>
      <c r="N2">
        <f>COUNTA(E2:E40)</f>
        <v>31</v>
      </c>
      <c r="O2">
        <f>COUNTIF(E2:E35,"Sports")</f>
        <v>4</v>
      </c>
    </row>
    <row r="3" spans="1:15" x14ac:dyDescent="0.3">
      <c r="A3">
        <v>2</v>
      </c>
      <c r="B3" t="s">
        <v>18</v>
      </c>
      <c r="C3" t="s">
        <v>19</v>
      </c>
      <c r="D3">
        <v>2023</v>
      </c>
      <c r="E3" t="s">
        <v>20</v>
      </c>
      <c r="F3" t="s">
        <v>21</v>
      </c>
      <c r="G3">
        <v>1.2</v>
      </c>
      <c r="H3">
        <v>1.9</v>
      </c>
      <c r="I3">
        <v>0.95</v>
      </c>
      <c r="J3">
        <v>1.3</v>
      </c>
      <c r="K3">
        <v>5.35</v>
      </c>
    </row>
    <row r="4" spans="1:15" x14ac:dyDescent="0.3">
      <c r="A4">
        <v>3</v>
      </c>
      <c r="B4" t="s">
        <v>22</v>
      </c>
      <c r="C4" t="s">
        <v>15</v>
      </c>
      <c r="D4">
        <v>2022</v>
      </c>
      <c r="E4" t="s">
        <v>23</v>
      </c>
      <c r="F4" t="s">
        <v>24</v>
      </c>
      <c r="G4">
        <v>1.75</v>
      </c>
      <c r="H4">
        <v>2.1</v>
      </c>
      <c r="I4">
        <v>1.05</v>
      </c>
      <c r="J4">
        <v>1.6</v>
      </c>
      <c r="K4">
        <v>6.5</v>
      </c>
    </row>
    <row r="5" spans="1:15" x14ac:dyDescent="0.3">
      <c r="A5">
        <v>4</v>
      </c>
      <c r="B5" t="s">
        <v>25</v>
      </c>
      <c r="C5" t="s">
        <v>19</v>
      </c>
      <c r="D5">
        <v>2021</v>
      </c>
      <c r="E5" t="s">
        <v>26</v>
      </c>
      <c r="F5" t="s">
        <v>27</v>
      </c>
      <c r="G5">
        <v>1.9</v>
      </c>
      <c r="H5">
        <v>2.5</v>
      </c>
      <c r="I5">
        <v>1.4</v>
      </c>
      <c r="J5">
        <v>1.8</v>
      </c>
      <c r="K5">
        <v>7.6000000000000014</v>
      </c>
      <c r="M5" t="s">
        <v>28</v>
      </c>
    </row>
    <row r="6" spans="1:15" x14ac:dyDescent="0.3">
      <c r="A6">
        <v>5</v>
      </c>
      <c r="B6" t="s">
        <v>29</v>
      </c>
      <c r="C6" t="s">
        <v>15</v>
      </c>
      <c r="D6">
        <v>2020</v>
      </c>
      <c r="E6" t="s">
        <v>30</v>
      </c>
      <c r="F6" t="s">
        <v>31</v>
      </c>
      <c r="G6">
        <v>0.95</v>
      </c>
      <c r="H6">
        <v>1.3</v>
      </c>
      <c r="I6">
        <v>0.8</v>
      </c>
      <c r="J6">
        <v>0.9</v>
      </c>
      <c r="K6">
        <v>3.95</v>
      </c>
      <c r="M6">
        <f>SUMIF(E2:E33,"Sports",K2:K33)</f>
        <v>26</v>
      </c>
    </row>
    <row r="7" spans="1:15" x14ac:dyDescent="0.3">
      <c r="A7">
        <v>6</v>
      </c>
      <c r="B7" t="s">
        <v>32</v>
      </c>
      <c r="C7" t="s">
        <v>33</v>
      </c>
      <c r="D7">
        <v>2023</v>
      </c>
      <c r="E7" t="s">
        <v>23</v>
      </c>
      <c r="F7" t="s">
        <v>34</v>
      </c>
      <c r="G7">
        <v>1.6</v>
      </c>
      <c r="H7">
        <v>2.0499999999999998</v>
      </c>
      <c r="I7">
        <v>1.1000000000000001</v>
      </c>
      <c r="J7">
        <v>1.55</v>
      </c>
      <c r="K7">
        <v>6.3</v>
      </c>
    </row>
    <row r="8" spans="1:15" x14ac:dyDescent="0.3">
      <c r="A8">
        <v>7</v>
      </c>
      <c r="B8" t="s">
        <v>35</v>
      </c>
      <c r="C8" t="s">
        <v>19</v>
      </c>
      <c r="D8">
        <v>2022</v>
      </c>
      <c r="E8" t="s">
        <v>16</v>
      </c>
      <c r="F8" t="s">
        <v>36</v>
      </c>
      <c r="G8">
        <v>0.75</v>
      </c>
      <c r="H8">
        <v>1.6</v>
      </c>
      <c r="I8">
        <v>0.6</v>
      </c>
      <c r="J8">
        <v>1.1000000000000001</v>
      </c>
      <c r="K8">
        <v>4.0500000000000007</v>
      </c>
    </row>
    <row r="9" spans="1:15" x14ac:dyDescent="0.3">
      <c r="A9">
        <v>8</v>
      </c>
      <c r="B9" t="s">
        <v>37</v>
      </c>
      <c r="C9" t="s">
        <v>15</v>
      </c>
      <c r="D9">
        <v>2021</v>
      </c>
      <c r="E9" t="s">
        <v>38</v>
      </c>
      <c r="F9" t="s">
        <v>39</v>
      </c>
      <c r="G9">
        <v>0.85</v>
      </c>
      <c r="H9">
        <v>1.2</v>
      </c>
      <c r="I9">
        <v>0.7</v>
      </c>
      <c r="J9">
        <v>0.95</v>
      </c>
      <c r="K9">
        <v>3.7</v>
      </c>
    </row>
    <row r="10" spans="1:15" x14ac:dyDescent="0.3">
      <c r="A10">
        <v>9</v>
      </c>
      <c r="B10" t="s">
        <v>40</v>
      </c>
      <c r="C10" t="s">
        <v>33</v>
      </c>
      <c r="D10">
        <v>2020</v>
      </c>
      <c r="E10" t="s">
        <v>20</v>
      </c>
      <c r="F10" t="s">
        <v>41</v>
      </c>
      <c r="G10">
        <v>0.9</v>
      </c>
      <c r="H10">
        <v>1.1000000000000001</v>
      </c>
      <c r="I10">
        <v>0.55000000000000004</v>
      </c>
      <c r="J10">
        <v>0.8</v>
      </c>
      <c r="K10">
        <v>3.35</v>
      </c>
    </row>
    <row r="11" spans="1:15" x14ac:dyDescent="0.3">
      <c r="A11">
        <v>10</v>
      </c>
      <c r="B11" t="s">
        <v>42</v>
      </c>
      <c r="C11" t="s">
        <v>15</v>
      </c>
      <c r="D11">
        <v>2024</v>
      </c>
      <c r="E11" t="s">
        <v>43</v>
      </c>
      <c r="F11" t="s">
        <v>44</v>
      </c>
      <c r="G11">
        <v>1.1000000000000001</v>
      </c>
      <c r="H11">
        <v>1.5</v>
      </c>
      <c r="I11">
        <v>1.25</v>
      </c>
      <c r="J11">
        <v>1.05</v>
      </c>
      <c r="K11">
        <v>4.9000000000000004</v>
      </c>
    </row>
    <row r="12" spans="1:15" x14ac:dyDescent="0.3">
      <c r="A12">
        <v>11</v>
      </c>
      <c r="B12" t="s">
        <v>45</v>
      </c>
      <c r="C12" t="s">
        <v>19</v>
      </c>
      <c r="D12">
        <v>2023</v>
      </c>
      <c r="E12" t="s">
        <v>46</v>
      </c>
      <c r="F12" t="s">
        <v>47</v>
      </c>
      <c r="G12">
        <v>0.7</v>
      </c>
      <c r="H12">
        <v>1.4</v>
      </c>
      <c r="I12">
        <v>0.65</v>
      </c>
      <c r="J12">
        <v>0.9</v>
      </c>
      <c r="K12">
        <v>3.649999999999999</v>
      </c>
    </row>
    <row r="13" spans="1:15" x14ac:dyDescent="0.3">
      <c r="A13">
        <v>12</v>
      </c>
      <c r="B13" t="s">
        <v>48</v>
      </c>
      <c r="C13" t="s">
        <v>33</v>
      </c>
      <c r="D13">
        <v>2021</v>
      </c>
      <c r="E13" t="s">
        <v>16</v>
      </c>
      <c r="F13" t="s">
        <v>49</v>
      </c>
      <c r="G13">
        <v>1.3</v>
      </c>
      <c r="H13">
        <v>1.95</v>
      </c>
      <c r="I13">
        <v>0.9</v>
      </c>
      <c r="J13">
        <v>1.4</v>
      </c>
      <c r="K13">
        <v>5.5500000000000007</v>
      </c>
    </row>
    <row r="14" spans="1:15" x14ac:dyDescent="0.3">
      <c r="A14">
        <v>13</v>
      </c>
      <c r="B14" t="s">
        <v>50</v>
      </c>
      <c r="C14" t="s">
        <v>19</v>
      </c>
      <c r="D14">
        <v>2020</v>
      </c>
      <c r="E14" t="s">
        <v>20</v>
      </c>
      <c r="F14" t="s">
        <v>24</v>
      </c>
      <c r="G14">
        <v>0.6</v>
      </c>
      <c r="H14">
        <v>1.1000000000000001</v>
      </c>
      <c r="I14">
        <v>0.95</v>
      </c>
      <c r="J14">
        <v>0.75</v>
      </c>
      <c r="K14">
        <v>3.4</v>
      </c>
    </row>
    <row r="15" spans="1:15" x14ac:dyDescent="0.3">
      <c r="A15">
        <v>14</v>
      </c>
      <c r="B15" t="s">
        <v>51</v>
      </c>
      <c r="C15" t="s">
        <v>15</v>
      </c>
      <c r="D15">
        <v>2022</v>
      </c>
      <c r="E15" t="s">
        <v>52</v>
      </c>
      <c r="F15" t="s">
        <v>53</v>
      </c>
      <c r="G15">
        <v>1.4</v>
      </c>
      <c r="H15">
        <v>1.65</v>
      </c>
      <c r="I15">
        <v>0.85</v>
      </c>
      <c r="J15">
        <v>1.2</v>
      </c>
      <c r="K15">
        <v>5.0999999999999996</v>
      </c>
    </row>
    <row r="16" spans="1:15" x14ac:dyDescent="0.3">
      <c r="A16">
        <v>15</v>
      </c>
      <c r="B16" t="s">
        <v>54</v>
      </c>
      <c r="C16" t="s">
        <v>15</v>
      </c>
      <c r="D16">
        <v>2021</v>
      </c>
      <c r="E16" t="s">
        <v>26</v>
      </c>
      <c r="F16" t="s">
        <v>55</v>
      </c>
      <c r="G16">
        <v>0.95</v>
      </c>
      <c r="H16">
        <v>1.05</v>
      </c>
      <c r="I16">
        <v>0.9</v>
      </c>
      <c r="J16">
        <v>0.8</v>
      </c>
      <c r="K16">
        <v>3.7</v>
      </c>
    </row>
    <row r="17" spans="1:11" x14ac:dyDescent="0.3">
      <c r="A17">
        <v>16</v>
      </c>
      <c r="B17" t="s">
        <v>56</v>
      </c>
      <c r="C17" t="s">
        <v>15</v>
      </c>
      <c r="D17">
        <v>2020</v>
      </c>
      <c r="E17" t="s">
        <v>38</v>
      </c>
      <c r="F17" t="s">
        <v>57</v>
      </c>
      <c r="G17">
        <v>1.05</v>
      </c>
      <c r="H17">
        <v>1.3</v>
      </c>
      <c r="I17">
        <v>0.7</v>
      </c>
      <c r="J17">
        <v>1</v>
      </c>
      <c r="K17">
        <v>4.05</v>
      </c>
    </row>
    <row r="18" spans="1:11" x14ac:dyDescent="0.3">
      <c r="A18">
        <v>17</v>
      </c>
      <c r="B18" t="s">
        <v>58</v>
      </c>
      <c r="C18" t="s">
        <v>19</v>
      </c>
      <c r="D18">
        <v>2023</v>
      </c>
      <c r="E18" t="s">
        <v>59</v>
      </c>
      <c r="F18" t="s">
        <v>60</v>
      </c>
      <c r="G18">
        <v>0.55000000000000004</v>
      </c>
      <c r="H18">
        <v>1.25</v>
      </c>
      <c r="I18">
        <v>0.6</v>
      </c>
      <c r="J18">
        <v>0.85</v>
      </c>
      <c r="K18">
        <v>3.25</v>
      </c>
    </row>
    <row r="19" spans="1:11" x14ac:dyDescent="0.3">
      <c r="A19">
        <v>18</v>
      </c>
      <c r="B19" t="s">
        <v>61</v>
      </c>
      <c r="C19" t="s">
        <v>15</v>
      </c>
      <c r="D19">
        <v>2022</v>
      </c>
      <c r="E19" t="s">
        <v>26</v>
      </c>
      <c r="F19" t="s">
        <v>62</v>
      </c>
      <c r="G19">
        <v>0.8</v>
      </c>
      <c r="H19">
        <v>0.95</v>
      </c>
      <c r="I19">
        <v>0.75</v>
      </c>
      <c r="J19">
        <v>0.7</v>
      </c>
      <c r="K19">
        <v>3.2</v>
      </c>
    </row>
    <row r="20" spans="1:11" x14ac:dyDescent="0.3">
      <c r="A20">
        <v>19</v>
      </c>
      <c r="B20" t="s">
        <v>63</v>
      </c>
      <c r="C20" t="s">
        <v>19</v>
      </c>
      <c r="D20">
        <v>2021</v>
      </c>
      <c r="E20" t="s">
        <v>38</v>
      </c>
      <c r="F20" t="s">
        <v>64</v>
      </c>
      <c r="G20">
        <v>1.25</v>
      </c>
      <c r="H20">
        <v>1.8</v>
      </c>
      <c r="I20">
        <v>0.95</v>
      </c>
      <c r="J20">
        <v>1.35</v>
      </c>
      <c r="K20">
        <v>5.35</v>
      </c>
    </row>
    <row r="21" spans="1:11" x14ac:dyDescent="0.3">
      <c r="A21">
        <v>20</v>
      </c>
      <c r="B21" t="s">
        <v>65</v>
      </c>
      <c r="C21" t="s">
        <v>19</v>
      </c>
      <c r="D21">
        <v>2020</v>
      </c>
      <c r="E21" t="s">
        <v>16</v>
      </c>
      <c r="F21" t="s">
        <v>66</v>
      </c>
      <c r="G21">
        <v>1.5</v>
      </c>
      <c r="H21">
        <v>2.2000000000000002</v>
      </c>
      <c r="I21">
        <v>1.1000000000000001</v>
      </c>
      <c r="J21">
        <v>1.6</v>
      </c>
      <c r="K21">
        <v>6.4</v>
      </c>
    </row>
    <row r="22" spans="1:11" x14ac:dyDescent="0.3">
      <c r="A22">
        <v>21</v>
      </c>
      <c r="B22" t="s">
        <v>67</v>
      </c>
      <c r="C22" t="s">
        <v>15</v>
      </c>
      <c r="D22">
        <v>2023</v>
      </c>
      <c r="E22" t="s">
        <v>38</v>
      </c>
      <c r="F22" t="s">
        <v>68</v>
      </c>
      <c r="G22">
        <v>1.8</v>
      </c>
      <c r="H22">
        <v>2.1</v>
      </c>
      <c r="I22">
        <v>1.35</v>
      </c>
      <c r="J22">
        <v>1.55</v>
      </c>
      <c r="K22">
        <v>6.8</v>
      </c>
    </row>
    <row r="23" spans="1:11" x14ac:dyDescent="0.3">
      <c r="A23">
        <v>22</v>
      </c>
      <c r="B23" t="s">
        <v>69</v>
      </c>
      <c r="C23" t="s">
        <v>33</v>
      </c>
      <c r="D23">
        <v>2022</v>
      </c>
      <c r="E23" t="s">
        <v>70</v>
      </c>
      <c r="F23" t="s">
        <v>71</v>
      </c>
      <c r="G23">
        <v>1.1000000000000001</v>
      </c>
      <c r="H23">
        <v>1.85</v>
      </c>
      <c r="I23">
        <v>0.9</v>
      </c>
      <c r="J23">
        <v>1.2</v>
      </c>
      <c r="K23">
        <v>5.05</v>
      </c>
    </row>
    <row r="24" spans="1:11" x14ac:dyDescent="0.3">
      <c r="A24">
        <v>23</v>
      </c>
      <c r="B24" t="s">
        <v>72</v>
      </c>
      <c r="C24" t="s">
        <v>15</v>
      </c>
      <c r="D24">
        <v>2021</v>
      </c>
      <c r="E24" t="s">
        <v>30</v>
      </c>
      <c r="F24" t="s">
        <v>73</v>
      </c>
      <c r="G24">
        <v>0.85</v>
      </c>
      <c r="H24">
        <v>1.4</v>
      </c>
      <c r="I24">
        <v>0.75</v>
      </c>
      <c r="J24">
        <v>1</v>
      </c>
      <c r="K24">
        <v>4</v>
      </c>
    </row>
    <row r="25" spans="1:11" x14ac:dyDescent="0.3">
      <c r="A25">
        <v>24</v>
      </c>
      <c r="B25" t="s">
        <v>74</v>
      </c>
      <c r="C25" t="s">
        <v>19</v>
      </c>
      <c r="D25">
        <v>2020</v>
      </c>
      <c r="E25" t="s">
        <v>30</v>
      </c>
      <c r="F25" t="s">
        <v>75</v>
      </c>
      <c r="G25">
        <v>0.95</v>
      </c>
      <c r="H25">
        <v>1.35</v>
      </c>
      <c r="I25">
        <v>0.8</v>
      </c>
      <c r="J25">
        <v>0.9</v>
      </c>
      <c r="K25">
        <v>4</v>
      </c>
    </row>
    <row r="26" spans="1:11" x14ac:dyDescent="0.3">
      <c r="A26">
        <v>25</v>
      </c>
      <c r="B26" t="s">
        <v>76</v>
      </c>
      <c r="C26" t="s">
        <v>33</v>
      </c>
      <c r="D26">
        <v>2024</v>
      </c>
      <c r="E26" t="s">
        <v>20</v>
      </c>
      <c r="F26" t="s">
        <v>77</v>
      </c>
      <c r="G26">
        <v>1.35</v>
      </c>
      <c r="H26">
        <v>1.7</v>
      </c>
      <c r="I26">
        <v>0.95</v>
      </c>
      <c r="J26">
        <v>1.25</v>
      </c>
      <c r="K26">
        <v>5.25</v>
      </c>
    </row>
    <row r="27" spans="1:11" x14ac:dyDescent="0.3">
      <c r="A27">
        <v>26</v>
      </c>
      <c r="B27" t="s">
        <v>78</v>
      </c>
      <c r="C27" t="s">
        <v>15</v>
      </c>
      <c r="D27">
        <v>2022</v>
      </c>
      <c r="E27" t="s">
        <v>38</v>
      </c>
      <c r="F27" t="s">
        <v>79</v>
      </c>
      <c r="G27">
        <v>1</v>
      </c>
      <c r="H27">
        <v>1.45</v>
      </c>
      <c r="I27">
        <v>0.85</v>
      </c>
      <c r="J27">
        <v>1.05</v>
      </c>
      <c r="K27">
        <v>4.3500000000000014</v>
      </c>
    </row>
    <row r="28" spans="1:11" x14ac:dyDescent="0.3">
      <c r="A28">
        <v>27</v>
      </c>
      <c r="B28" t="s">
        <v>80</v>
      </c>
      <c r="C28" t="s">
        <v>33</v>
      </c>
      <c r="D28">
        <v>2023</v>
      </c>
      <c r="E28" t="s">
        <v>23</v>
      </c>
      <c r="F28" t="s">
        <v>81</v>
      </c>
      <c r="G28">
        <v>1.2</v>
      </c>
      <c r="H28">
        <v>1.6</v>
      </c>
      <c r="I28">
        <v>0.9</v>
      </c>
      <c r="J28">
        <v>1.1000000000000001</v>
      </c>
      <c r="K28">
        <v>4.8</v>
      </c>
    </row>
    <row r="29" spans="1:11" x14ac:dyDescent="0.3">
      <c r="A29">
        <v>28</v>
      </c>
      <c r="B29" t="s">
        <v>82</v>
      </c>
      <c r="C29" t="s">
        <v>15</v>
      </c>
      <c r="D29">
        <v>2021</v>
      </c>
      <c r="E29" t="s">
        <v>30</v>
      </c>
      <c r="F29" t="s">
        <v>57</v>
      </c>
      <c r="G29">
        <v>0.9</v>
      </c>
      <c r="H29">
        <v>1.2</v>
      </c>
      <c r="I29">
        <v>0.7</v>
      </c>
      <c r="J29">
        <v>0.95</v>
      </c>
      <c r="K29">
        <v>3.75</v>
      </c>
    </row>
    <row r="30" spans="1:11" x14ac:dyDescent="0.3">
      <c r="A30">
        <v>29</v>
      </c>
      <c r="B30" t="s">
        <v>83</v>
      </c>
      <c r="C30" t="s">
        <v>19</v>
      </c>
      <c r="D30">
        <v>2022</v>
      </c>
      <c r="E30" t="s">
        <v>59</v>
      </c>
      <c r="F30" t="s">
        <v>84</v>
      </c>
      <c r="G30">
        <v>0.75</v>
      </c>
      <c r="H30">
        <v>1.1499999999999999</v>
      </c>
      <c r="I30">
        <v>0.65</v>
      </c>
      <c r="J30">
        <v>0.8</v>
      </c>
      <c r="K30">
        <v>3.35</v>
      </c>
    </row>
    <row r="31" spans="1:11" x14ac:dyDescent="0.3">
      <c r="A31">
        <v>30</v>
      </c>
      <c r="B31" t="s">
        <v>85</v>
      </c>
      <c r="C31" t="s">
        <v>19</v>
      </c>
      <c r="D31">
        <v>2023</v>
      </c>
      <c r="E31" t="s">
        <v>86</v>
      </c>
      <c r="F31" t="s">
        <v>87</v>
      </c>
      <c r="G31">
        <v>0.85</v>
      </c>
      <c r="H31">
        <v>1.3</v>
      </c>
      <c r="I31">
        <v>0.7</v>
      </c>
      <c r="J31">
        <v>0.9</v>
      </c>
      <c r="K31">
        <v>3.75</v>
      </c>
    </row>
    <row r="32" spans="1:11" x14ac:dyDescent="0.3">
      <c r="A32">
        <v>31</v>
      </c>
      <c r="B32" t="s">
        <v>85</v>
      </c>
      <c r="C32" t="s">
        <v>19</v>
      </c>
      <c r="D32">
        <v>2023</v>
      </c>
      <c r="E32" t="s">
        <v>86</v>
      </c>
      <c r="F32" t="s">
        <v>87</v>
      </c>
      <c r="G32">
        <v>0.85</v>
      </c>
      <c r="H32">
        <v>1.3</v>
      </c>
      <c r="I32">
        <v>0.7</v>
      </c>
      <c r="J32">
        <v>0.9</v>
      </c>
      <c r="K32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SalesData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Lekha A, Professor</dc:creator>
  <cp:lastModifiedBy>Avi Chovatiya</cp:lastModifiedBy>
  <dcterms:created xsi:type="dcterms:W3CDTF">2025-11-27T16:35:20Z</dcterms:created>
  <dcterms:modified xsi:type="dcterms:W3CDTF">2025-12-29T11:19:33Z</dcterms:modified>
</cp:coreProperties>
</file>